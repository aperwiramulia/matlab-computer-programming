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Nilai MK sem A TA2025_2026\"/>
    </mc:Choice>
  </mc:AlternateContent>
  <xr:revisionPtr revIDLastSave="0" documentId="13_ncr:1_{6D5EBDBB-80F4-4622-A98D-E91464BBC0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1" l="1"/>
  <c r="M52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8" i="1"/>
  <c r="M8" i="1" l="1"/>
  <c r="L40" i="1"/>
  <c r="M40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</calcChain>
</file>

<file path=xl/sharedStrings.xml><?xml version="1.0" encoding="utf-8"?>
<sst xmlns="http://schemas.openxmlformats.org/spreadsheetml/2006/main" count="256" uniqueCount="118">
  <si>
    <t>PENILAIAN KELAS MAHASISWA</t>
  </si>
  <si>
    <t/>
  </si>
  <si>
    <t xml:space="preserve">Nama Kelas  </t>
  </si>
  <si>
    <t>Kode Mata Kuliah</t>
  </si>
  <si>
    <t>Nama Mata Kuliah</t>
  </si>
  <si>
    <t>SKS</t>
  </si>
  <si>
    <t>Tipe Kelas</t>
  </si>
  <si>
    <t>MKDK</t>
  </si>
  <si>
    <t>NIM</t>
  </si>
  <si>
    <t>NAMA</t>
  </si>
  <si>
    <t>Kode Prodi</t>
  </si>
  <si>
    <t>Program Studi</t>
  </si>
  <si>
    <t>Jenjang</t>
  </si>
  <si>
    <t>Project Based (50%)</t>
  </si>
  <si>
    <t>Case Method (0%)</t>
  </si>
  <si>
    <t>Ujian Tengah Semester (15%)</t>
  </si>
  <si>
    <t>411</t>
  </si>
  <si>
    <t>Teknik Sipil</t>
  </si>
  <si>
    <t>S-1</t>
  </si>
  <si>
    <t>220404038</t>
  </si>
  <si>
    <t>MAULANA IBRAHIM</t>
  </si>
  <si>
    <t>230404028</t>
  </si>
  <si>
    <t>DEDE OCTO PHILIPUS KARO-KARO</t>
  </si>
  <si>
    <t>230404097</t>
  </si>
  <si>
    <t>Yohanes Binsar Galang Silalahi</t>
  </si>
  <si>
    <t>230404133</t>
  </si>
  <si>
    <t>JOAN ANDRA DONOVAN SITEPU</t>
  </si>
  <si>
    <t>240404014</t>
  </si>
  <si>
    <t>Mutiara Nurlaila</t>
  </si>
  <si>
    <t>240404078</t>
  </si>
  <si>
    <t>AHMAD IBRAHIM SIREGAR</t>
  </si>
  <si>
    <t>Nilai akhir</t>
  </si>
  <si>
    <t>huruf</t>
  </si>
  <si>
    <t>TESB</t>
  </si>
  <si>
    <t>TES3112</t>
  </si>
  <si>
    <t>Pemrograman Komputer</t>
  </si>
  <si>
    <t>190404046</t>
  </si>
  <si>
    <t>IVAN CHRISTIAN SINURAT</t>
  </si>
  <si>
    <t>200404120</t>
  </si>
  <si>
    <t>Muhammad Shalih Fauzan</t>
  </si>
  <si>
    <t>210404147</t>
  </si>
  <si>
    <t>LAHAN JAYA HAREFA</t>
  </si>
  <si>
    <t>230404003</t>
  </si>
  <si>
    <t>YESIFES ZILIWU</t>
  </si>
  <si>
    <t>230404014</t>
  </si>
  <si>
    <t>JUAN OCTO VIANSEN GIRSANG</t>
  </si>
  <si>
    <t>230404015</t>
  </si>
  <si>
    <t>REIFAL FAUZAN SAPUTRA</t>
  </si>
  <si>
    <t>230404021</t>
  </si>
  <si>
    <t>FARHAN ARVI MULANA</t>
  </si>
  <si>
    <t>230404023</t>
  </si>
  <si>
    <t>A BOAS N SIRUMAPEA</t>
  </si>
  <si>
    <t>230404024</t>
  </si>
  <si>
    <t>GALIEL GIBRAN TARIGAN</t>
  </si>
  <si>
    <t>230404026</t>
  </si>
  <si>
    <t>ZULKARNAIN TANJUNG</t>
  </si>
  <si>
    <t>230404042</t>
  </si>
  <si>
    <t>JOSUA REINHARD SINAGA</t>
  </si>
  <si>
    <t>230404045</t>
  </si>
  <si>
    <t>YAHYA ARTHUR SIMARMATA</t>
  </si>
  <si>
    <t>230404047</t>
  </si>
  <si>
    <t>Aliyah Putri Syoufiani</t>
  </si>
  <si>
    <t>230404049</t>
  </si>
  <si>
    <t>Ridho Simatupang</t>
  </si>
  <si>
    <t>230404050</t>
  </si>
  <si>
    <t>Bunga Butar Butar</t>
  </si>
  <si>
    <t>230404054</t>
  </si>
  <si>
    <t>Romauli Simbolon</t>
  </si>
  <si>
    <t>230404057</t>
  </si>
  <si>
    <t>Glenia Evelyn Girsang</t>
  </si>
  <si>
    <t>230404058</t>
  </si>
  <si>
    <t>Alexius Tunggul Nadeak</t>
  </si>
  <si>
    <t>230404060</t>
  </si>
  <si>
    <t>Muhammad Farras Zaidan</t>
  </si>
  <si>
    <t>230404064</t>
  </si>
  <si>
    <t>Abdullah Syidad Saragih</t>
  </si>
  <si>
    <t>230404065</t>
  </si>
  <si>
    <t>Horasman Simarmata</t>
  </si>
  <si>
    <t>230404068</t>
  </si>
  <si>
    <t>Dzakirah Nata Abi Gunawan</t>
  </si>
  <si>
    <t>230404081</t>
  </si>
  <si>
    <t>Delon Given Tampubolon</t>
  </si>
  <si>
    <t>230404093</t>
  </si>
  <si>
    <t>Ridho Januar Pasaribu</t>
  </si>
  <si>
    <t>230404099</t>
  </si>
  <si>
    <t>Ariq Aufarrahman</t>
  </si>
  <si>
    <t>230404105</t>
  </si>
  <si>
    <t>Hernan March Keanu Pasaribu</t>
  </si>
  <si>
    <t>230404111</t>
  </si>
  <si>
    <t>DJASECAR NATHANAEL KARO SEKALI</t>
  </si>
  <si>
    <t>230404114</t>
  </si>
  <si>
    <t>PANGERAN SANJAYA ARYATNIE</t>
  </si>
  <si>
    <t>230404116</t>
  </si>
  <si>
    <t>FREDRICH OSHEA PRANANTA PURBA</t>
  </si>
  <si>
    <t>230404126</t>
  </si>
  <si>
    <t>PAYDO BASA CHRISTIAN TAMBA</t>
  </si>
  <si>
    <t>230404129</t>
  </si>
  <si>
    <t>HANS SEBASTIAN TAMPUBOLON</t>
  </si>
  <si>
    <t>230404130</t>
  </si>
  <si>
    <t>MARCELLO GERRARD RICHARDO NISURA GINTING</t>
  </si>
  <si>
    <t>230404131</t>
  </si>
  <si>
    <t>MUHAMMAD RAFIQ ZAIDAN</t>
  </si>
  <si>
    <t>230404138</t>
  </si>
  <si>
    <t>BRIAN RUMASINGAP</t>
  </si>
  <si>
    <t>230404139</t>
  </si>
  <si>
    <t>BRYAN CHRISTO NICHOLAS SIBUEA</t>
  </si>
  <si>
    <t>240404067</t>
  </si>
  <si>
    <t>SULTAN SHOLAHUDDIN</t>
  </si>
  <si>
    <t>240404099</t>
  </si>
  <si>
    <t xml:space="preserve">RAYHAND FIRMANSYAH </t>
  </si>
  <si>
    <t>240404104</t>
  </si>
  <si>
    <t>REDJA MONALISA OCTAVIA HUTAURUK</t>
  </si>
  <si>
    <t>240404126</t>
  </si>
  <si>
    <t>ADITIA TANJUNG HASIBUAN</t>
  </si>
  <si>
    <t>Tugas (20%)</t>
  </si>
  <si>
    <t>Quiz (0%)</t>
  </si>
  <si>
    <t>Ujian Akhir Semester (15%)</t>
  </si>
  <si>
    <t>40 orang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</si>
</sst>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selection activeCell="N2" sqref="N2"/>
    </sheetView>
  </sheetViews>
  <sheetFormatPr defaultRowHeight="15.5" x14ac:dyDescent="0.35"/>
  <cols>
    <col min="1" max="1" width="10.4140625" customWidth="1"/>
    <col min="2" max="2" width="20.58203125" customWidth="1"/>
    <col min="7" max="7" width="2.4140625" customWidth="1"/>
    <col min="10" max="10" width="15.33203125" customWidth="1"/>
    <col min="11" max="11" width="12.08203125" customWidth="1"/>
  </cols>
  <sheetData>
    <row r="1" spans="1:13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13" x14ac:dyDescent="0.35">
      <c r="A2" t="s">
        <v>2</v>
      </c>
      <c r="B2" t="s">
        <v>33</v>
      </c>
    </row>
    <row r="3" spans="1:13" x14ac:dyDescent="0.35">
      <c r="A3" t="s">
        <v>3</v>
      </c>
      <c r="B3" t="s">
        <v>34</v>
      </c>
    </row>
    <row r="4" spans="1:13" x14ac:dyDescent="0.35">
      <c r="A4" t="s">
        <v>4</v>
      </c>
      <c r="B4" t="s">
        <v>35</v>
      </c>
    </row>
    <row r="5" spans="1:13" x14ac:dyDescent="0.35">
      <c r="A5" t="s">
        <v>5</v>
      </c>
      <c r="B5">
        <v>3</v>
      </c>
      <c r="K5" s="7" t="s">
        <v>117</v>
      </c>
    </row>
    <row r="6" spans="1:13" x14ac:dyDescent="0.35">
      <c r="A6" t="s">
        <v>6</v>
      </c>
      <c r="B6" t="s">
        <v>7</v>
      </c>
      <c r="F6" s="3">
        <v>0.5</v>
      </c>
      <c r="H6" s="3">
        <v>0.2</v>
      </c>
      <c r="I6" s="3"/>
      <c r="J6" s="3">
        <v>0.15</v>
      </c>
      <c r="K6" s="3">
        <v>0.15</v>
      </c>
    </row>
    <row r="7" spans="1:13" x14ac:dyDescent="0.3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114</v>
      </c>
      <c r="I7" t="s">
        <v>115</v>
      </c>
      <c r="J7" t="s">
        <v>15</v>
      </c>
      <c r="K7" s="7" t="s">
        <v>116</v>
      </c>
      <c r="L7" t="s">
        <v>31</v>
      </c>
      <c r="M7" t="s">
        <v>32</v>
      </c>
    </row>
    <row r="8" spans="1:13" x14ac:dyDescent="0.35">
      <c r="A8" t="s">
        <v>36</v>
      </c>
      <c r="B8" t="s">
        <v>37</v>
      </c>
      <c r="C8" t="s">
        <v>16</v>
      </c>
      <c r="D8" t="s">
        <v>17</v>
      </c>
      <c r="E8" t="s">
        <v>18</v>
      </c>
      <c r="F8">
        <v>0</v>
      </c>
      <c r="I8" s="1"/>
      <c r="J8" s="2"/>
      <c r="K8">
        <v>0</v>
      </c>
      <c r="L8">
        <f>(SUM(F8*$F$6+H8*$H$6+J8*$J$6+K8*$K$6))</f>
        <v>0</v>
      </c>
      <c r="M8" t="str">
        <f>IF(L8&gt;=80,"A",IF(AND(L8&lt;80,L8&gt;=75),"B+",IF(AND(L8&lt;75,L8&gt;=70),"B",IF(AND(L8&lt;70,L8&gt;=65),"C+",IF(AND(L8&lt;65,L8&gt;=60),"C",IF(AND(L8&lt;60,L8&gt;=50),"D",IF(L8&lt;50,"E")))))))</f>
        <v>E</v>
      </c>
    </row>
    <row r="9" spans="1:13" x14ac:dyDescent="0.35">
      <c r="A9" t="s">
        <v>38</v>
      </c>
      <c r="B9" t="s">
        <v>39</v>
      </c>
      <c r="C9" t="s">
        <v>16</v>
      </c>
      <c r="D9" t="s">
        <v>17</v>
      </c>
      <c r="E9" t="s">
        <v>18</v>
      </c>
      <c r="F9">
        <v>0</v>
      </c>
      <c r="I9" s="1"/>
      <c r="J9" s="2"/>
      <c r="K9">
        <v>50</v>
      </c>
      <c r="L9">
        <f t="shared" ref="L9:L39" si="0">(SUM(F9*$F$6+H9*$H$6+J9*$J$6+K9*$K$6))</f>
        <v>7.5</v>
      </c>
      <c r="M9" t="str">
        <f t="shared" ref="M9:M52" si="1">IF(L9&gt;=80,"A",IF(AND(L9&lt;80,L9&gt;=75),"B+",IF(AND(L9&lt;75,L9&gt;=70),"B",IF(AND(L9&lt;70,L9&gt;=65),"C+",IF(AND(L9&lt;65,L9&gt;=60),"C",IF(AND(L9&lt;60,L9&gt;=50),"D",IF(L9&lt;50,"E")))))))</f>
        <v>E</v>
      </c>
    </row>
    <row r="10" spans="1:13" x14ac:dyDescent="0.35">
      <c r="A10" t="s">
        <v>40</v>
      </c>
      <c r="B10" t="s">
        <v>41</v>
      </c>
      <c r="C10" t="s">
        <v>16</v>
      </c>
      <c r="D10" t="s">
        <v>17</v>
      </c>
      <c r="E10" t="s">
        <v>18</v>
      </c>
      <c r="F10">
        <v>0</v>
      </c>
      <c r="H10" s="4"/>
      <c r="I10" s="1"/>
      <c r="J10" s="2"/>
      <c r="K10">
        <v>60</v>
      </c>
      <c r="L10">
        <f t="shared" si="0"/>
        <v>9</v>
      </c>
      <c r="M10" t="str">
        <f t="shared" si="1"/>
        <v>E</v>
      </c>
    </row>
    <row r="11" spans="1:13" x14ac:dyDescent="0.35">
      <c r="A11" t="s">
        <v>19</v>
      </c>
      <c r="B11" t="s">
        <v>20</v>
      </c>
      <c r="C11" t="s">
        <v>16</v>
      </c>
      <c r="D11" t="s">
        <v>17</v>
      </c>
      <c r="E11" t="s">
        <v>18</v>
      </c>
      <c r="F11" s="6">
        <v>20.9375</v>
      </c>
      <c r="I11" s="1"/>
      <c r="J11" s="2"/>
      <c r="K11">
        <v>0</v>
      </c>
      <c r="L11">
        <f t="shared" si="0"/>
        <v>10.46875</v>
      </c>
      <c r="M11" t="str">
        <f t="shared" si="1"/>
        <v>E</v>
      </c>
    </row>
    <row r="12" spans="1:13" x14ac:dyDescent="0.35">
      <c r="A12" t="s">
        <v>42</v>
      </c>
      <c r="B12" t="s">
        <v>43</v>
      </c>
      <c r="C12" t="s">
        <v>16</v>
      </c>
      <c r="D12" t="s">
        <v>17</v>
      </c>
      <c r="E12" t="s">
        <v>18</v>
      </c>
      <c r="F12">
        <v>65.099999999999994</v>
      </c>
      <c r="I12" s="1"/>
      <c r="J12" s="5"/>
      <c r="K12">
        <v>0</v>
      </c>
      <c r="L12">
        <f t="shared" si="0"/>
        <v>32.549999999999997</v>
      </c>
      <c r="M12" t="str">
        <f t="shared" si="1"/>
        <v>E</v>
      </c>
    </row>
    <row r="13" spans="1:13" x14ac:dyDescent="0.35">
      <c r="A13" t="s">
        <v>44</v>
      </c>
      <c r="B13" t="s">
        <v>45</v>
      </c>
      <c r="C13" t="s">
        <v>16</v>
      </c>
      <c r="D13" t="s">
        <v>17</v>
      </c>
      <c r="E13" t="s">
        <v>18</v>
      </c>
      <c r="F13" s="6">
        <v>67.40625</v>
      </c>
      <c r="I13" s="1"/>
      <c r="J13" s="2"/>
      <c r="K13">
        <v>75</v>
      </c>
      <c r="L13">
        <f t="shared" si="0"/>
        <v>44.953125</v>
      </c>
      <c r="M13" t="str">
        <f t="shared" si="1"/>
        <v>E</v>
      </c>
    </row>
    <row r="14" spans="1:13" x14ac:dyDescent="0.35">
      <c r="A14" t="s">
        <v>46</v>
      </c>
      <c r="B14" t="s">
        <v>47</v>
      </c>
      <c r="C14" t="s">
        <v>16</v>
      </c>
      <c r="D14" t="s">
        <v>17</v>
      </c>
      <c r="E14" t="s">
        <v>18</v>
      </c>
      <c r="F14" s="6">
        <v>26.0625</v>
      </c>
      <c r="I14" s="1"/>
      <c r="J14" s="2"/>
      <c r="K14">
        <v>50</v>
      </c>
      <c r="L14">
        <f t="shared" si="0"/>
        <v>20.53125</v>
      </c>
      <c r="M14" t="str">
        <f t="shared" si="1"/>
        <v>E</v>
      </c>
    </row>
    <row r="15" spans="1:13" x14ac:dyDescent="0.35">
      <c r="A15" t="s">
        <v>48</v>
      </c>
      <c r="B15" t="s">
        <v>49</v>
      </c>
      <c r="C15" t="s">
        <v>16</v>
      </c>
      <c r="D15" t="s">
        <v>17</v>
      </c>
      <c r="E15" t="s">
        <v>18</v>
      </c>
      <c r="F15" s="6">
        <v>77.375</v>
      </c>
      <c r="I15" s="1"/>
      <c r="J15" s="2"/>
      <c r="K15">
        <v>65</v>
      </c>
      <c r="L15">
        <f t="shared" si="0"/>
        <v>48.4375</v>
      </c>
      <c r="M15" t="str">
        <f t="shared" si="1"/>
        <v>E</v>
      </c>
    </row>
    <row r="16" spans="1:13" x14ac:dyDescent="0.35">
      <c r="A16" t="s">
        <v>50</v>
      </c>
      <c r="B16" t="s">
        <v>51</v>
      </c>
      <c r="C16" t="s">
        <v>16</v>
      </c>
      <c r="D16" t="s">
        <v>17</v>
      </c>
      <c r="E16" t="s">
        <v>18</v>
      </c>
      <c r="F16" s="6">
        <v>77.8125</v>
      </c>
      <c r="I16" s="1"/>
      <c r="J16" s="2"/>
      <c r="K16">
        <v>60</v>
      </c>
      <c r="L16">
        <f t="shared" si="0"/>
        <v>47.90625</v>
      </c>
      <c r="M16" t="str">
        <f t="shared" si="1"/>
        <v>E</v>
      </c>
    </row>
    <row r="17" spans="1:13" x14ac:dyDescent="0.35">
      <c r="A17" t="s">
        <v>52</v>
      </c>
      <c r="B17" t="s">
        <v>53</v>
      </c>
      <c r="C17" t="s">
        <v>16</v>
      </c>
      <c r="D17" t="s">
        <v>17</v>
      </c>
      <c r="E17" t="s">
        <v>18</v>
      </c>
      <c r="F17" s="6">
        <v>40.8125</v>
      </c>
      <c r="I17" s="1"/>
      <c r="J17" s="2"/>
      <c r="K17">
        <v>70</v>
      </c>
      <c r="L17">
        <f t="shared" si="0"/>
        <v>30.90625</v>
      </c>
      <c r="M17" t="str">
        <f t="shared" si="1"/>
        <v>E</v>
      </c>
    </row>
    <row r="18" spans="1:13" x14ac:dyDescent="0.35">
      <c r="A18" t="s">
        <v>54</v>
      </c>
      <c r="B18" t="s">
        <v>55</v>
      </c>
      <c r="C18" t="s">
        <v>16</v>
      </c>
      <c r="D18" t="s">
        <v>17</v>
      </c>
      <c r="E18" t="s">
        <v>18</v>
      </c>
      <c r="F18" s="6">
        <v>46.9375</v>
      </c>
      <c r="I18" s="1"/>
      <c r="J18" s="2"/>
      <c r="K18">
        <v>75</v>
      </c>
      <c r="L18">
        <f t="shared" si="0"/>
        <v>34.71875</v>
      </c>
      <c r="M18" t="str">
        <f t="shared" si="1"/>
        <v>E</v>
      </c>
    </row>
    <row r="19" spans="1:13" x14ac:dyDescent="0.35">
      <c r="A19" t="s">
        <v>21</v>
      </c>
      <c r="B19" t="s">
        <v>22</v>
      </c>
      <c r="C19" t="s">
        <v>16</v>
      </c>
      <c r="D19" t="s">
        <v>17</v>
      </c>
      <c r="E19" t="s">
        <v>18</v>
      </c>
      <c r="F19" s="6">
        <v>78.53125</v>
      </c>
      <c r="I19" s="1"/>
      <c r="J19" s="2"/>
      <c r="K19">
        <v>55</v>
      </c>
      <c r="L19">
        <f t="shared" si="0"/>
        <v>47.515625</v>
      </c>
      <c r="M19" t="str">
        <f t="shared" si="1"/>
        <v>E</v>
      </c>
    </row>
    <row r="20" spans="1:13" x14ac:dyDescent="0.35">
      <c r="A20" t="s">
        <v>56</v>
      </c>
      <c r="B20" t="s">
        <v>57</v>
      </c>
      <c r="C20" t="s">
        <v>16</v>
      </c>
      <c r="D20" t="s">
        <v>17</v>
      </c>
      <c r="E20" t="s">
        <v>18</v>
      </c>
      <c r="F20" s="6">
        <v>19.3125</v>
      </c>
      <c r="I20" s="1"/>
      <c r="J20" s="2"/>
      <c r="K20">
        <v>75</v>
      </c>
      <c r="L20">
        <f t="shared" si="0"/>
        <v>20.90625</v>
      </c>
      <c r="M20" t="str">
        <f t="shared" si="1"/>
        <v>E</v>
      </c>
    </row>
    <row r="21" spans="1:13" x14ac:dyDescent="0.35">
      <c r="A21" t="s">
        <v>58</v>
      </c>
      <c r="B21" t="s">
        <v>59</v>
      </c>
      <c r="C21" t="s">
        <v>16</v>
      </c>
      <c r="D21" t="s">
        <v>17</v>
      </c>
      <c r="E21" t="s">
        <v>18</v>
      </c>
      <c r="F21" s="6">
        <v>5.3125</v>
      </c>
      <c r="I21" s="1"/>
      <c r="J21" s="2"/>
      <c r="K21">
        <v>50</v>
      </c>
      <c r="L21">
        <f t="shared" si="0"/>
        <v>10.15625</v>
      </c>
      <c r="M21" t="str">
        <f t="shared" si="1"/>
        <v>E</v>
      </c>
    </row>
    <row r="22" spans="1:13" x14ac:dyDescent="0.35">
      <c r="A22" t="s">
        <v>60</v>
      </c>
      <c r="B22" t="s">
        <v>61</v>
      </c>
      <c r="C22" t="s">
        <v>16</v>
      </c>
      <c r="D22" t="s">
        <v>17</v>
      </c>
      <c r="E22" t="s">
        <v>18</v>
      </c>
      <c r="F22" s="6">
        <v>32.84375</v>
      </c>
      <c r="I22" s="1"/>
      <c r="J22" s="2"/>
      <c r="K22">
        <v>0</v>
      </c>
      <c r="L22">
        <f t="shared" si="0"/>
        <v>16.421875</v>
      </c>
      <c r="M22" t="str">
        <f t="shared" si="1"/>
        <v>E</v>
      </c>
    </row>
    <row r="23" spans="1:13" x14ac:dyDescent="0.35">
      <c r="A23" t="s">
        <v>62</v>
      </c>
      <c r="B23" t="s">
        <v>63</v>
      </c>
      <c r="C23" t="s">
        <v>16</v>
      </c>
      <c r="D23" t="s">
        <v>17</v>
      </c>
      <c r="E23" t="s">
        <v>18</v>
      </c>
      <c r="F23" s="6">
        <v>69.375</v>
      </c>
      <c r="I23" s="1"/>
      <c r="J23" s="2"/>
      <c r="K23">
        <v>70</v>
      </c>
      <c r="L23">
        <f t="shared" si="0"/>
        <v>45.1875</v>
      </c>
      <c r="M23" t="str">
        <f t="shared" si="1"/>
        <v>E</v>
      </c>
    </row>
    <row r="24" spans="1:13" x14ac:dyDescent="0.35">
      <c r="A24" t="s">
        <v>64</v>
      </c>
      <c r="B24" t="s">
        <v>65</v>
      </c>
      <c r="C24" t="s">
        <v>16</v>
      </c>
      <c r="D24" t="s">
        <v>17</v>
      </c>
      <c r="E24" t="s">
        <v>18</v>
      </c>
      <c r="F24" s="6">
        <v>72.625</v>
      </c>
      <c r="I24" s="1"/>
      <c r="J24" s="2"/>
      <c r="K24">
        <v>75</v>
      </c>
      <c r="L24">
        <f t="shared" si="0"/>
        <v>47.5625</v>
      </c>
      <c r="M24" t="str">
        <f t="shared" si="1"/>
        <v>E</v>
      </c>
    </row>
    <row r="25" spans="1:13" x14ac:dyDescent="0.35">
      <c r="A25" t="s">
        <v>66</v>
      </c>
      <c r="B25" t="s">
        <v>67</v>
      </c>
      <c r="C25" t="s">
        <v>16</v>
      </c>
      <c r="D25" t="s">
        <v>17</v>
      </c>
      <c r="E25" t="s">
        <v>18</v>
      </c>
      <c r="F25" s="6">
        <v>76.28125</v>
      </c>
      <c r="I25" s="1"/>
      <c r="J25" s="2"/>
      <c r="K25">
        <v>55</v>
      </c>
      <c r="L25">
        <f t="shared" si="0"/>
        <v>46.390625</v>
      </c>
      <c r="M25" t="str">
        <f t="shared" si="1"/>
        <v>E</v>
      </c>
    </row>
    <row r="26" spans="1:13" x14ac:dyDescent="0.35">
      <c r="A26" t="s">
        <v>68</v>
      </c>
      <c r="B26" t="s">
        <v>69</v>
      </c>
      <c r="C26" t="s">
        <v>16</v>
      </c>
      <c r="D26" t="s">
        <v>17</v>
      </c>
      <c r="E26" t="s">
        <v>18</v>
      </c>
      <c r="F26" s="6">
        <v>82.8125</v>
      </c>
      <c r="I26" s="1"/>
      <c r="J26" s="2"/>
      <c r="K26">
        <v>75</v>
      </c>
      <c r="L26">
        <f t="shared" si="0"/>
        <v>52.65625</v>
      </c>
      <c r="M26" t="str">
        <f t="shared" si="1"/>
        <v>D</v>
      </c>
    </row>
    <row r="27" spans="1:13" x14ac:dyDescent="0.35">
      <c r="A27" t="s">
        <v>70</v>
      </c>
      <c r="B27" t="s">
        <v>71</v>
      </c>
      <c r="C27" t="s">
        <v>16</v>
      </c>
      <c r="D27" t="s">
        <v>17</v>
      </c>
      <c r="E27" t="s">
        <v>18</v>
      </c>
      <c r="F27" s="6">
        <v>12.0625</v>
      </c>
      <c r="I27" s="1"/>
      <c r="J27" s="2"/>
      <c r="K27">
        <v>80</v>
      </c>
      <c r="L27">
        <f t="shared" si="0"/>
        <v>18.03125</v>
      </c>
      <c r="M27" t="str">
        <f t="shared" si="1"/>
        <v>E</v>
      </c>
    </row>
    <row r="28" spans="1:13" x14ac:dyDescent="0.35">
      <c r="A28" t="s">
        <v>72</v>
      </c>
      <c r="B28" t="s">
        <v>73</v>
      </c>
      <c r="C28" t="s">
        <v>16</v>
      </c>
      <c r="D28" t="s">
        <v>17</v>
      </c>
      <c r="E28" t="s">
        <v>18</v>
      </c>
      <c r="F28" s="6">
        <v>15</v>
      </c>
      <c r="I28" s="1"/>
      <c r="J28" s="2"/>
      <c r="K28">
        <v>60</v>
      </c>
      <c r="L28">
        <f t="shared" si="0"/>
        <v>16.5</v>
      </c>
      <c r="M28" t="str">
        <f t="shared" si="1"/>
        <v>E</v>
      </c>
    </row>
    <row r="29" spans="1:13" x14ac:dyDescent="0.35">
      <c r="A29" t="s">
        <v>74</v>
      </c>
      <c r="B29" t="s">
        <v>75</v>
      </c>
      <c r="C29" t="s">
        <v>16</v>
      </c>
      <c r="D29" t="s">
        <v>17</v>
      </c>
      <c r="E29" t="s">
        <v>18</v>
      </c>
      <c r="F29" s="6">
        <v>60.125</v>
      </c>
      <c r="I29" s="1"/>
      <c r="J29" s="2"/>
      <c r="K29">
        <v>65</v>
      </c>
      <c r="L29">
        <f t="shared" si="0"/>
        <v>39.8125</v>
      </c>
      <c r="M29" t="str">
        <f t="shared" si="1"/>
        <v>E</v>
      </c>
    </row>
    <row r="30" spans="1:13" x14ac:dyDescent="0.35">
      <c r="A30" t="s">
        <v>76</v>
      </c>
      <c r="B30" t="s">
        <v>77</v>
      </c>
      <c r="C30" t="s">
        <v>16</v>
      </c>
      <c r="D30" t="s">
        <v>17</v>
      </c>
      <c r="E30" t="s">
        <v>18</v>
      </c>
      <c r="F30" s="6">
        <v>77.6875</v>
      </c>
      <c r="I30" s="1"/>
      <c r="J30" s="2"/>
      <c r="K30">
        <v>70</v>
      </c>
      <c r="L30">
        <f t="shared" si="0"/>
        <v>49.34375</v>
      </c>
      <c r="M30" t="str">
        <f t="shared" si="1"/>
        <v>E</v>
      </c>
    </row>
    <row r="31" spans="1:13" x14ac:dyDescent="0.35">
      <c r="A31" t="s">
        <v>78</v>
      </c>
      <c r="B31" t="s">
        <v>79</v>
      </c>
      <c r="C31" t="s">
        <v>16</v>
      </c>
      <c r="D31" t="s">
        <v>17</v>
      </c>
      <c r="E31" t="s">
        <v>18</v>
      </c>
      <c r="F31" s="6">
        <v>80.25</v>
      </c>
      <c r="I31" s="1"/>
      <c r="J31" s="2"/>
      <c r="K31">
        <v>65</v>
      </c>
      <c r="L31">
        <f t="shared" si="0"/>
        <v>49.875</v>
      </c>
      <c r="M31" t="str">
        <f t="shared" si="1"/>
        <v>E</v>
      </c>
    </row>
    <row r="32" spans="1:13" x14ac:dyDescent="0.35">
      <c r="A32" t="s">
        <v>80</v>
      </c>
      <c r="B32" t="s">
        <v>81</v>
      </c>
      <c r="C32" t="s">
        <v>16</v>
      </c>
      <c r="D32" t="s">
        <v>17</v>
      </c>
      <c r="E32" t="s">
        <v>18</v>
      </c>
      <c r="F32" s="6">
        <v>61</v>
      </c>
      <c r="I32" s="1"/>
      <c r="J32" s="2"/>
      <c r="K32">
        <v>50</v>
      </c>
      <c r="L32">
        <f t="shared" si="0"/>
        <v>38</v>
      </c>
      <c r="M32" t="str">
        <f t="shared" si="1"/>
        <v>E</v>
      </c>
    </row>
    <row r="33" spans="1:13" x14ac:dyDescent="0.35">
      <c r="A33" t="s">
        <v>82</v>
      </c>
      <c r="B33" t="s">
        <v>83</v>
      </c>
      <c r="C33" t="s">
        <v>16</v>
      </c>
      <c r="D33" t="s">
        <v>17</v>
      </c>
      <c r="E33" t="s">
        <v>18</v>
      </c>
      <c r="F33" s="6">
        <v>69.78125</v>
      </c>
      <c r="I33" s="1"/>
      <c r="J33" s="2"/>
      <c r="K33">
        <v>75</v>
      </c>
      <c r="L33">
        <f t="shared" si="0"/>
        <v>46.140625</v>
      </c>
      <c r="M33" t="str">
        <f t="shared" si="1"/>
        <v>E</v>
      </c>
    </row>
    <row r="34" spans="1:13" x14ac:dyDescent="0.35">
      <c r="A34" t="s">
        <v>23</v>
      </c>
      <c r="B34" t="s">
        <v>24</v>
      </c>
      <c r="C34" t="s">
        <v>16</v>
      </c>
      <c r="D34" t="s">
        <v>17</v>
      </c>
      <c r="E34" t="s">
        <v>18</v>
      </c>
      <c r="F34" s="6">
        <v>50.875</v>
      </c>
      <c r="I34" s="1"/>
      <c r="J34" s="2"/>
      <c r="K34">
        <v>65</v>
      </c>
      <c r="L34">
        <f t="shared" si="0"/>
        <v>35.1875</v>
      </c>
      <c r="M34" t="str">
        <f t="shared" si="1"/>
        <v>E</v>
      </c>
    </row>
    <row r="35" spans="1:13" x14ac:dyDescent="0.35">
      <c r="A35" t="s">
        <v>84</v>
      </c>
      <c r="B35" t="s">
        <v>85</v>
      </c>
      <c r="C35" t="s">
        <v>16</v>
      </c>
      <c r="D35" t="s">
        <v>17</v>
      </c>
      <c r="E35" t="s">
        <v>18</v>
      </c>
      <c r="F35" s="6">
        <v>10.15625</v>
      </c>
      <c r="I35" s="1"/>
      <c r="J35" s="2"/>
      <c r="K35">
        <v>50</v>
      </c>
      <c r="L35">
        <f t="shared" si="0"/>
        <v>12.578125</v>
      </c>
      <c r="M35" t="str">
        <f t="shared" si="1"/>
        <v>E</v>
      </c>
    </row>
    <row r="36" spans="1:13" x14ac:dyDescent="0.35">
      <c r="A36" t="s">
        <v>86</v>
      </c>
      <c r="B36" t="s">
        <v>87</v>
      </c>
      <c r="C36" t="s">
        <v>16</v>
      </c>
      <c r="D36" t="s">
        <v>17</v>
      </c>
      <c r="E36" t="s">
        <v>18</v>
      </c>
      <c r="F36" s="6">
        <v>18.75</v>
      </c>
      <c r="I36" s="1"/>
      <c r="J36" s="2"/>
      <c r="K36">
        <v>40</v>
      </c>
      <c r="L36">
        <f t="shared" si="0"/>
        <v>15.375</v>
      </c>
      <c r="M36" t="str">
        <f t="shared" si="1"/>
        <v>E</v>
      </c>
    </row>
    <row r="37" spans="1:13" x14ac:dyDescent="0.35">
      <c r="A37" t="s">
        <v>88</v>
      </c>
      <c r="B37" t="s">
        <v>89</v>
      </c>
      <c r="C37" t="s">
        <v>16</v>
      </c>
      <c r="D37" t="s">
        <v>17</v>
      </c>
      <c r="E37" t="s">
        <v>18</v>
      </c>
      <c r="F37" s="6">
        <v>6.25</v>
      </c>
      <c r="I37" s="1"/>
      <c r="J37" s="2"/>
      <c r="K37">
        <v>70</v>
      </c>
      <c r="L37">
        <f t="shared" si="0"/>
        <v>13.625</v>
      </c>
      <c r="M37" t="str">
        <f t="shared" si="1"/>
        <v>E</v>
      </c>
    </row>
    <row r="38" spans="1:13" x14ac:dyDescent="0.35">
      <c r="A38" t="s">
        <v>90</v>
      </c>
      <c r="B38" t="s">
        <v>91</v>
      </c>
      <c r="C38" t="s">
        <v>16</v>
      </c>
      <c r="D38" t="s">
        <v>17</v>
      </c>
      <c r="E38" t="s">
        <v>18</v>
      </c>
      <c r="F38" s="6">
        <v>27.1875</v>
      </c>
      <c r="I38" s="1"/>
      <c r="J38" s="2"/>
      <c r="K38">
        <v>30</v>
      </c>
      <c r="L38">
        <f t="shared" si="0"/>
        <v>18.09375</v>
      </c>
      <c r="M38" t="str">
        <f t="shared" si="1"/>
        <v>E</v>
      </c>
    </row>
    <row r="39" spans="1:13" x14ac:dyDescent="0.35">
      <c r="A39" t="s">
        <v>92</v>
      </c>
      <c r="B39" t="s">
        <v>93</v>
      </c>
      <c r="C39" t="s">
        <v>16</v>
      </c>
      <c r="D39" t="s">
        <v>17</v>
      </c>
      <c r="E39" t="s">
        <v>18</v>
      </c>
      <c r="F39" s="6">
        <v>28.5</v>
      </c>
      <c r="I39" s="1"/>
      <c r="J39" s="2"/>
      <c r="K39">
        <v>60</v>
      </c>
      <c r="L39">
        <f t="shared" si="0"/>
        <v>23.25</v>
      </c>
      <c r="M39" t="str">
        <f t="shared" si="1"/>
        <v>E</v>
      </c>
    </row>
    <row r="40" spans="1:13" x14ac:dyDescent="0.35">
      <c r="A40" t="s">
        <v>94</v>
      </c>
      <c r="B40" t="s">
        <v>95</v>
      </c>
      <c r="C40" t="s">
        <v>16</v>
      </c>
      <c r="D40" t="s">
        <v>17</v>
      </c>
      <c r="E40" t="s">
        <v>18</v>
      </c>
      <c r="F40" s="6">
        <v>0</v>
      </c>
      <c r="K40">
        <v>50</v>
      </c>
      <c r="L40">
        <f>(SUM(F40*$F$6+H40*$H$6+J40*$J$6+K40*$K$6))</f>
        <v>7.5</v>
      </c>
      <c r="M40" t="str">
        <f t="shared" si="1"/>
        <v>E</v>
      </c>
    </row>
    <row r="41" spans="1:13" x14ac:dyDescent="0.35">
      <c r="A41" t="s">
        <v>96</v>
      </c>
      <c r="B41" t="s">
        <v>97</v>
      </c>
      <c r="C41" t="s">
        <v>16</v>
      </c>
      <c r="D41" t="s">
        <v>17</v>
      </c>
      <c r="E41" t="s">
        <v>18</v>
      </c>
      <c r="F41" s="6">
        <v>68.9375</v>
      </c>
      <c r="K41">
        <v>80</v>
      </c>
      <c r="L41">
        <f t="shared" ref="L41:L51" si="2">(SUM(F41*$F$6+H41*$H$6+J41*$J$6+K41*$K$6))</f>
        <v>46.46875</v>
      </c>
      <c r="M41" t="str">
        <f t="shared" si="1"/>
        <v>E</v>
      </c>
    </row>
    <row r="42" spans="1:13" x14ac:dyDescent="0.35">
      <c r="A42" t="s">
        <v>98</v>
      </c>
      <c r="B42" t="s">
        <v>99</v>
      </c>
      <c r="C42" t="s">
        <v>16</v>
      </c>
      <c r="D42" t="s">
        <v>17</v>
      </c>
      <c r="E42" t="s">
        <v>18</v>
      </c>
      <c r="F42" s="6">
        <v>76</v>
      </c>
      <c r="K42">
        <v>65</v>
      </c>
      <c r="L42">
        <f t="shared" si="2"/>
        <v>47.75</v>
      </c>
      <c r="M42" t="str">
        <f t="shared" si="1"/>
        <v>E</v>
      </c>
    </row>
    <row r="43" spans="1:13" x14ac:dyDescent="0.35">
      <c r="A43" t="s">
        <v>100</v>
      </c>
      <c r="B43" t="s">
        <v>101</v>
      </c>
      <c r="C43" t="s">
        <v>16</v>
      </c>
      <c r="D43" t="s">
        <v>17</v>
      </c>
      <c r="E43" t="s">
        <v>18</v>
      </c>
      <c r="F43" s="6">
        <v>70.3125</v>
      </c>
      <c r="K43">
        <v>55</v>
      </c>
      <c r="L43">
        <f t="shared" si="2"/>
        <v>43.40625</v>
      </c>
      <c r="M43" t="str">
        <f t="shared" si="1"/>
        <v>E</v>
      </c>
    </row>
    <row r="44" spans="1:13" x14ac:dyDescent="0.35">
      <c r="A44" t="s">
        <v>25</v>
      </c>
      <c r="B44" t="s">
        <v>26</v>
      </c>
      <c r="C44" t="s">
        <v>16</v>
      </c>
      <c r="D44" t="s">
        <v>17</v>
      </c>
      <c r="E44" t="s">
        <v>18</v>
      </c>
      <c r="F44" s="6">
        <v>24.03125</v>
      </c>
      <c r="K44">
        <v>70</v>
      </c>
      <c r="L44">
        <f t="shared" si="2"/>
        <v>22.515625</v>
      </c>
      <c r="M44" t="str">
        <f t="shared" si="1"/>
        <v>E</v>
      </c>
    </row>
    <row r="45" spans="1:13" x14ac:dyDescent="0.35">
      <c r="A45" t="s">
        <v>102</v>
      </c>
      <c r="B45" t="s">
        <v>103</v>
      </c>
      <c r="C45" t="s">
        <v>16</v>
      </c>
      <c r="D45" t="s">
        <v>17</v>
      </c>
      <c r="E45" t="s">
        <v>18</v>
      </c>
      <c r="F45" s="6">
        <v>14.6875</v>
      </c>
      <c r="K45">
        <v>65</v>
      </c>
      <c r="L45">
        <f t="shared" si="2"/>
        <v>17.09375</v>
      </c>
      <c r="M45" t="str">
        <f t="shared" si="1"/>
        <v>E</v>
      </c>
    </row>
    <row r="46" spans="1:13" x14ac:dyDescent="0.35">
      <c r="A46" t="s">
        <v>104</v>
      </c>
      <c r="B46" t="s">
        <v>105</v>
      </c>
      <c r="C46" t="s">
        <v>16</v>
      </c>
      <c r="D46" t="s">
        <v>17</v>
      </c>
      <c r="E46" t="s">
        <v>18</v>
      </c>
      <c r="F46" s="6">
        <v>79.5625</v>
      </c>
      <c r="K46">
        <v>90</v>
      </c>
      <c r="L46">
        <f t="shared" si="2"/>
        <v>53.28125</v>
      </c>
      <c r="M46" t="str">
        <f t="shared" si="1"/>
        <v>D</v>
      </c>
    </row>
    <row r="47" spans="1:13" x14ac:dyDescent="0.35">
      <c r="A47" t="s">
        <v>27</v>
      </c>
      <c r="B47" t="s">
        <v>28</v>
      </c>
      <c r="C47" t="s">
        <v>16</v>
      </c>
      <c r="D47" t="s">
        <v>17</v>
      </c>
      <c r="E47" t="s">
        <v>18</v>
      </c>
      <c r="F47" s="6">
        <v>84.375</v>
      </c>
      <c r="K47">
        <v>70</v>
      </c>
      <c r="L47">
        <f t="shared" si="2"/>
        <v>52.6875</v>
      </c>
      <c r="M47" t="str">
        <f t="shared" si="1"/>
        <v>D</v>
      </c>
    </row>
    <row r="48" spans="1:13" x14ac:dyDescent="0.35">
      <c r="A48" t="s">
        <v>106</v>
      </c>
      <c r="B48" t="s">
        <v>107</v>
      </c>
      <c r="C48" t="s">
        <v>16</v>
      </c>
      <c r="D48" t="s">
        <v>17</v>
      </c>
      <c r="E48" t="s">
        <v>18</v>
      </c>
      <c r="F48" s="6">
        <v>79.75</v>
      </c>
      <c r="K48">
        <v>70</v>
      </c>
      <c r="L48">
        <f t="shared" si="2"/>
        <v>50.375</v>
      </c>
      <c r="M48" t="str">
        <f t="shared" si="1"/>
        <v>D</v>
      </c>
    </row>
    <row r="49" spans="1:13" x14ac:dyDescent="0.35">
      <c r="A49" t="s">
        <v>29</v>
      </c>
      <c r="B49" t="s">
        <v>30</v>
      </c>
      <c r="C49" t="s">
        <v>16</v>
      </c>
      <c r="D49" t="s">
        <v>17</v>
      </c>
      <c r="E49" t="s">
        <v>18</v>
      </c>
      <c r="F49" s="6">
        <v>1.875</v>
      </c>
      <c r="K49">
        <v>0</v>
      </c>
      <c r="L49">
        <f t="shared" si="2"/>
        <v>0.9375</v>
      </c>
      <c r="M49" t="str">
        <f t="shared" si="1"/>
        <v>E</v>
      </c>
    </row>
    <row r="50" spans="1:13" x14ac:dyDescent="0.35">
      <c r="A50" t="s">
        <v>108</v>
      </c>
      <c r="B50" t="s">
        <v>109</v>
      </c>
      <c r="C50" t="s">
        <v>16</v>
      </c>
      <c r="D50" t="s">
        <v>17</v>
      </c>
      <c r="E50" t="s">
        <v>18</v>
      </c>
      <c r="F50" s="6">
        <v>75.375</v>
      </c>
      <c r="K50">
        <v>80</v>
      </c>
      <c r="L50">
        <f t="shared" si="2"/>
        <v>49.6875</v>
      </c>
      <c r="M50" t="str">
        <f t="shared" si="1"/>
        <v>E</v>
      </c>
    </row>
    <row r="51" spans="1:13" x14ac:dyDescent="0.35">
      <c r="A51" t="s">
        <v>110</v>
      </c>
      <c r="B51" t="s">
        <v>111</v>
      </c>
      <c r="C51" t="s">
        <v>16</v>
      </c>
      <c r="D51" t="s">
        <v>17</v>
      </c>
      <c r="E51" t="s">
        <v>18</v>
      </c>
      <c r="F51" s="6">
        <v>85.4375</v>
      </c>
      <c r="K51">
        <v>90</v>
      </c>
      <c r="L51">
        <f t="shared" si="2"/>
        <v>56.21875</v>
      </c>
      <c r="M51" t="str">
        <f t="shared" si="1"/>
        <v>D</v>
      </c>
    </row>
    <row r="52" spans="1:13" x14ac:dyDescent="0.35">
      <c r="A52" t="s">
        <v>112</v>
      </c>
      <c r="B52" t="s">
        <v>113</v>
      </c>
      <c r="C52" t="s">
        <v>16</v>
      </c>
      <c r="D52" t="s">
        <v>17</v>
      </c>
      <c r="E52" t="s">
        <v>18</v>
      </c>
      <c r="F52" s="6">
        <v>23.125</v>
      </c>
      <c r="K52">
        <v>65</v>
      </c>
      <c r="L52">
        <f>(SUM(F52*$F$6+H52*$H$6+J52*$J$6+K52*$K$6))</f>
        <v>21.3125</v>
      </c>
      <c r="M52" t="str">
        <f t="shared" si="1"/>
        <v>E</v>
      </c>
    </row>
  </sheetData>
  <phoneticPr fontId="2" type="noConversion"/>
  <pageMargins left="0.7" right="0.7" top="0.75" bottom="0.75" header="0.3" footer="0.3"/>
  <ignoredErrors>
    <ignoredError sqref="A1:K1 G8:G11 G13:G39 A6:E6 G6 G12 A2:A5 C2:K4 C5:J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syarvina</cp:lastModifiedBy>
  <dcterms:created xsi:type="dcterms:W3CDTF">2025-12-25T04:04:42Z</dcterms:created>
  <dcterms:modified xsi:type="dcterms:W3CDTF">2025-12-25T04:26:50Z</dcterms:modified>
</cp:coreProperties>
</file>